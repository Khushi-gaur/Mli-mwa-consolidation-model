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MLI_Standalone" sheetId="2" state="visible" r:id="rId4"/>
    <sheet name="MWA_Standalone" sheetId="3" state="visible" r:id="rId5"/>
    <sheet name="Copper_Cost_Engine" sheetId="4" state="visible" r:id="rId6"/>
    <sheet name="Pro_Forma_Consolidated" sheetId="5" state="visible" r:id="rId7"/>
    <sheet name="Sensitivity_Matrix" sheetId="6" state="visible" r:id="rId8"/>
    <sheet name="Five_Year_Forecast" sheetId="7" state="visible" r:id="rId9"/>
    <sheet name="Audit_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10-K: net sales, FY2025</t>
        </r>
      </text>
    </comment>
    <comment ref="B5" authorId="0">
      <text>
        <r>
          <rPr>
            <sz val="10"/>
            <rFont val="Arial"/>
            <family val="2"/>
          </rPr>
          <t xml:space="preserve">10-K: COGS $2,966,083K</t>
        </r>
      </text>
    </comment>
    <comment ref="B6" authorId="0">
      <text>
        <r>
          <rPr>
            <sz val="10"/>
            <rFont val="Arial"/>
            <family val="2"/>
          </rPr>
          <t xml:space="preserve">10-K: D&amp;A $68,561K</t>
        </r>
      </text>
    </comment>
    <comment ref="B7" authorId="0">
      <text>
        <r>
          <rPr>
            <sz val="10"/>
            <rFont val="Arial"/>
            <family val="2"/>
          </rPr>
          <t xml:space="preserve">10-K: SG&amp;A $248,651K</t>
        </r>
      </text>
    </comment>
    <comment ref="B12" authorId="0">
      <text>
        <r>
          <rPr>
            <sz val="10"/>
            <rFont val="Arial"/>
            <family val="2"/>
          </rPr>
          <t xml:space="preserve">10-K / FY2025 earnings release: reported Operating Income. Taken as a direct input, NOT built up from COGS+D&amp;A+SG&amp;A below — see reconciling-gap note.</t>
        </r>
      </text>
    </comment>
    <comment ref="B13" authorId="0">
      <text>
        <r>
          <rPr>
            <sz val="10"/>
            <rFont val="Arial"/>
            <family val="2"/>
          </rPr>
          <t xml:space="preserve">Proxy statement 'Results at a Glance' table: FY2025 EBITDA. Company's own non-GAAP reconciliation, taken as reported.</t>
        </r>
      </text>
    </comment>
    <comment ref="B16" authorId="0">
      <text>
        <r>
          <rPr>
            <sz val="10"/>
            <rFont val="Arial"/>
            <family val="2"/>
          </rPr>
          <t xml:space="preserve">10-K: Net income attributable to MLI, FY2025. Taken as reported input — not rebuilt bottom-up (below-the-line items, tax, and minority interest not modeled here).</t>
        </r>
      </text>
    </comment>
    <comment ref="B21" authorId="0">
      <text>
        <r>
          <rPr>
            <sz val="10"/>
            <rFont val="Arial"/>
            <family val="2"/>
          </rPr>
          <t xml:space="preserve">10-K: 'As of December 27, 2025, the Company had no debt outstanding.'</t>
        </r>
      </text>
    </comment>
    <comment ref="B22" authorId="0">
      <text>
        <r>
          <rPr>
            <sz val="10"/>
            <rFont val="Arial"/>
            <family val="2"/>
          </rPr>
          <t xml:space="preserve">Q4/FY2025 earnings release: year-end cash and short-term investments.</t>
        </r>
      </text>
    </comment>
    <comment ref="B23" authorId="0">
      <text>
        <r>
          <rPr>
            <sz val="10"/>
            <rFont val="Arial"/>
            <family val="2"/>
          </rPr>
          <t xml:space="preserve">10-K: FY2025 capex $68.8M; company guides $80-90M for FY2026.</t>
        </r>
      </text>
    </comment>
    <comment ref="B24" authorId="0">
      <text>
        <r>
          <rPr>
            <sz val="10"/>
            <rFont val="Arial"/>
            <family val="2"/>
          </rPr>
          <t xml:space="preserve">Company FY2026 CapEx guidance range, disclosed on Q4/FY2025 earnings call.</t>
        </r>
      </text>
    </comment>
    <comment ref="B25" authorId="0">
      <text>
        <r>
          <rPr>
            <sz val="10"/>
            <rFont val="Arial"/>
            <family val="2"/>
          </rPr>
          <t xml:space="preserve">Reported trailing payout ratio (regular quarterly dividend $0.25/sh against FY2025 EPS), per market data aggregators.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10-K/earnings release: net sales FY2025</t>
        </r>
      </text>
    </comment>
    <comment ref="B5" authorId="0">
      <text>
        <r>
          <rPr>
            <sz val="10"/>
            <rFont val="Arial"/>
            <family val="2"/>
          </rPr>
          <t xml:space="preserve">Derived from reported gross profit of $516.7M (third-party aggregator; not a direct 10-K line pull — verify against the filed income statement before finalizing)</t>
        </r>
      </text>
    </comment>
    <comment ref="B10" authorId="0">
      <text>
        <r>
          <rPr>
            <sz val="10"/>
            <rFont val="Arial"/>
            <family val="2"/>
          </rPr>
          <t xml:space="preserve">Derived as Gross Profit less reported Operating Income ($260.6M). Not a direct 10-K line-item split — MWA's filed income statement should be pulled to break this into SG&amp;A vs. D&amp;A before this model is finalized.</t>
        </r>
      </text>
    </comment>
    <comment ref="B13" authorId="0">
      <text>
        <r>
          <rPr>
            <sz val="10"/>
            <rFont val="Arial"/>
            <family val="2"/>
          </rPr>
          <t xml:space="preserve">Company-reported Adjusted EBITDA, FY2025 earnings release. 22.8% margin per company disclosure.</t>
        </r>
      </text>
    </comment>
    <comment ref="B16" authorId="0">
      <text>
        <r>
          <rPr>
            <sz val="10"/>
            <rFont val="Arial"/>
            <family val="2"/>
          </rPr>
          <t xml:space="preserve">10-K: Net income FY2025 (fiscal year ended 2025-09-30).</t>
        </r>
      </text>
    </comment>
    <comment ref="B18" authorId="0">
      <text>
        <r>
          <rPr>
            <sz val="10"/>
            <rFont val="Arial"/>
            <family val="2"/>
          </rPr>
          <t xml:space="preserve">FY2025 earnings release: total debt outstanding, 4.0% Senior Notes, no maturities until June 2029, no financial maintenance covenants.</t>
        </r>
      </text>
    </comment>
    <comment ref="B19" authorId="0">
      <text>
        <r>
          <rPr>
            <sz val="10"/>
            <rFont val="Arial"/>
            <family val="2"/>
          </rPr>
          <t xml:space="preserve">FY2025 earnings release: year-end cash and cash equivalents. Net debt leverage reported at 0.1x.</t>
        </r>
      </text>
    </comment>
    <comment ref="B20" authorId="0">
      <text>
        <r>
          <rPr>
            <sz val="10"/>
            <rFont val="Arial"/>
            <family val="2"/>
          </rPr>
          <t xml:space="preserve">FY2025 earnings release: capex $47.3M, consistent with $47.4M prior year.</t>
        </r>
      </text>
    </comment>
    <comment ref="B21" authorId="0">
      <text>
        <r>
          <rPr>
            <sz val="10"/>
            <rFont val="Arial"/>
            <family val="2"/>
          </rPr>
          <t xml:space="preserve">Reported trailing payout ratio range ~19.7%-21.2% across data providers; 20% used as a rounded point estimate.</t>
        </r>
      </text>
    </comment>
    <comment ref="B22" authorId="0">
      <text>
        <r>
          <rPr>
            <sz val="10"/>
            <rFont val="Arial"/>
            <family val="2"/>
          </rPr>
          <t xml:space="preserve">Unadjusted FY2025 EBITDA ($307.5M, earnings release) less reported Operating Income ($260.6M) implies ~$46.9M of D&amp;A. Derived, not a direct 10-K line pull.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MLI Q4 2025 earnings release: COMEX averaged $5.13/lb in Q4 2025</t>
        </r>
      </text>
    </comment>
    <comment ref="B5" authorId="0">
      <text>
        <r>
          <rPr>
            <sz val="10"/>
            <rFont val="Arial"/>
            <family val="2"/>
          </rPr>
          <t xml:space="preserve">MLI Q3 2025 earnings release: COMEX averaged $4.83/lb in Q3 2025</t>
        </r>
      </text>
    </comment>
    <comment ref="B6" authorId="0">
      <text>
        <r>
          <rPr>
            <sz val="10"/>
            <rFont val="Arial"/>
            <family val="2"/>
          </rPr>
          <t xml:space="preserve">ASSUMPTION — typical order-to-ship lag cited in prior project materials; not a disclosed company metric</t>
        </r>
      </text>
    </comment>
    <comment ref="B7" authorId="0">
      <text>
        <r>
          <rPr>
            <sz val="10"/>
            <rFont val="Arial"/>
            <family val="2"/>
          </rPr>
          <t xml:space="preserve">ASSUMPTION — illustrative copper tube/fitting fabrication spread; MLI does not publicly disclose this figure. Validate against segment disclosures before using in a live interview.</t>
        </r>
      </text>
    </comment>
    <comment ref="B8" authorId="0">
      <text>
        <r>
          <rPr>
            <sz val="10"/>
            <rFont val="Arial"/>
            <family val="2"/>
          </rPr>
          <t xml:space="preserve">ASSUMPTION — fraction of a quarter-over-quarter copper price move reflected in ASP within the period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ASSUMPTION: illustrative procurement-pooling synergy, not disclosed. Shown for narrative only — does not feed the EBITDA build below, which uses reported headline EBITDA instead (see MLI/MWA reconciling-gap note).</t>
        </r>
      </text>
    </comment>
    <comment ref="D9" authorId="0">
      <text>
        <r>
          <rPr>
            <sz val="10"/>
            <rFont val="Arial"/>
            <family val="2"/>
          </rPr>
          <t xml:space="preserve">ASSUMPTION: net illustrative synergies ($8M COGS + $6M opex), not disclosed guidance.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ASSUMPTION — illustrative unit-volume growth. Neither company discloses segment volume at this granularity; this decomposes growth into drivers rather than using one flat rate, but is still an analyst assumption, not sourced guidance.</t>
        </r>
      </text>
    </comment>
    <comment ref="B6" authorId="0">
      <text>
        <r>
          <rPr>
            <sz val="10"/>
            <rFont val="Arial"/>
            <family val="2"/>
          </rPr>
          <t xml:space="preserve">ASSUMPTION — held modest and consistent with the base-case copper price being flat (see Copper_Cost_Engine); if copper prices were assumed to rise, this line should rise with it.</t>
        </r>
      </text>
    </comment>
    <comment ref="B7" authorId="0">
      <text>
        <r>
          <rPr>
            <sz val="10"/>
            <rFont val="Arial"/>
            <family val="2"/>
          </rPr>
          <t xml:space="preserve">ASSUMPTION — illustrative, informed by publicly discussed water-infrastructure capex tailwinds; not a disclosed MWA figure.</t>
        </r>
      </text>
    </comment>
    <comment ref="B8" authorId="0">
      <text>
        <r>
          <rPr>
            <sz val="10"/>
            <rFont val="Arial"/>
            <family val="2"/>
          </rPr>
          <t xml:space="preserve">ASSUMPTION — illustrative industrial pricing growth.</t>
        </r>
      </text>
    </comment>
    <comment ref="B13" authorId="0">
      <text>
        <r>
          <rPr>
            <sz val="10"/>
            <rFont val="Arial"/>
            <family val="2"/>
          </rPr>
          <t xml:space="preserve">Explicitly consistent with Copper_Cost_Engine!B4. MLI EBITDA margin below is held at FY2025 actual on this basis — if the copper price assumption changes, the margin assumption should be revisited, not left stale.</t>
        </r>
      </text>
    </comment>
    <comment ref="B14" authorId="0">
      <text>
        <r>
          <rPr>
            <sz val="10"/>
            <rFont val="Arial"/>
            <family val="2"/>
          </rPr>
          <t xml:space="preserve">Linked to FY2025 actual margin, earned under copper averaging $4.83-5.13/lb — consistent with the flat price path above.</t>
        </r>
      </text>
    </comment>
    <comment ref="B15" authorId="0">
      <text>
        <r>
          <rPr>
            <sz val="10"/>
            <rFont val="Arial"/>
            <family val="2"/>
          </rPr>
          <t xml:space="preserve">Linked to FY2025 actual margin.</t>
        </r>
      </text>
    </comment>
    <comment ref="B16" authorId="0">
      <text>
        <r>
          <rPr>
            <sz val="10"/>
            <rFont val="Arial"/>
            <family val="2"/>
          </rPr>
          <t xml:space="preserve">Derived from FY2025 actual D&amp;A / actual revenue.</t>
        </r>
      </text>
    </comment>
    <comment ref="B17" authorId="0">
      <text>
        <r>
          <rPr>
            <sz val="10"/>
            <rFont val="Arial"/>
            <family val="2"/>
          </rPr>
          <t xml:space="preserve">Derived from implied FY2025 D&amp;A / actual revenue.</t>
        </r>
      </text>
    </comment>
    <comment ref="B20" authorId="0">
      <text>
        <r>
          <rPr>
            <sz val="10"/>
            <rFont val="Arial"/>
            <family val="2"/>
          </rPr>
          <t xml:space="preserve">Midpoint of company-disclosed $80-90M FY2026 CapEx guidance — used directly for Year 1 instead of a historical ratio, so the forecast doesn't understate a number the company has already told the market.</t>
        </r>
      </text>
    </comment>
    <comment ref="B21" authorId="0">
      <text>
        <r>
          <rPr>
            <sz val="10"/>
            <rFont val="Arial"/>
            <family val="2"/>
          </rPr>
          <t xml:space="preserve">Ratio implied by the guided FY2026 CapEx over FY2026E revenue — carried forward for later years in the absence of further guidance.</t>
        </r>
      </text>
    </comment>
    <comment ref="B22" authorId="0">
      <text>
        <r>
          <rPr>
            <sz val="10"/>
            <rFont val="Arial"/>
            <family val="2"/>
          </rPr>
          <t xml:space="preserve">Derived from FY2025 actual capex / actual revenue — no MWA CapEx guidance located.</t>
        </r>
      </text>
    </comment>
    <comment ref="B23" authorId="0">
      <text>
        <r>
          <rPr>
            <sz val="10"/>
            <rFont val="Arial"/>
            <family val="2"/>
          </rPr>
          <t xml:space="preserve">Same illustrative synergy assumption used in Pro_Forma_Consolidated.</t>
        </r>
      </text>
    </comment>
    <comment ref="B24" authorId="0">
      <text>
        <r>
          <rPr>
            <sz val="10"/>
            <rFont val="Arial"/>
            <family val="2"/>
          </rPr>
          <t xml:space="preserve">ASSUMPTION — common rule-of-thumb that integration costs run roughly 1-1.5x run-rate synergy value; not company-specific.</t>
        </r>
      </text>
    </comment>
    <comment ref="B25" authorId="0">
      <text>
        <r>
          <rPr>
            <sz val="10"/>
            <rFont val="Arial"/>
            <family val="2"/>
          </rPr>
          <t xml:space="preserve">ASSUMPTION — illustrative blended US federal+state rate; not each company's actual effective rate, which isn't separately available at this granularity.</t>
        </r>
      </text>
    </comment>
    <comment ref="B26" authorId="0">
      <text>
        <r>
          <rPr>
            <sz val="10"/>
            <rFont val="Arial"/>
            <family val="2"/>
          </rPr>
          <t xml:space="preserve">Sourced: MWA's 4.0% Senior Notes, no maturity until 2029 (bullet structure — no scheduled amortization assumed in this window).</t>
        </r>
      </text>
    </comment>
    <comment ref="B27" authorId="0">
      <text>
        <r>
          <rPr>
            <sz val="10"/>
            <rFont val="Arial"/>
            <family val="2"/>
          </rPr>
          <t xml:space="preserve">ASSUMPTION — simplified working-capital intensity proxy; a higher-fidelity build would use each company's actual AR/Inventory/AP turnover from the balance sheet, not yet pulled into this model.</t>
        </r>
      </text>
    </comment>
  </commentList>
</comments>
</file>

<file path=xl/sharedStrings.xml><?xml version="1.0" encoding="utf-8"?>
<sst xmlns="http://schemas.openxmlformats.org/spreadsheetml/2006/main" count="154" uniqueCount="144">
  <si>
    <t xml:space="preserve">MLI / MWA HORIZONTAL CONSOLIDATION — EXECUTIVE SUMMARY</t>
  </si>
  <si>
    <t xml:space="preserve">Hypothetical, independently-built analysis using public FY2025 filings. Not an announced or advised transaction.</t>
  </si>
  <si>
    <t xml:space="preserve">Acquirer</t>
  </si>
  <si>
    <t xml:space="preserve">Mueller Industries, Inc. (NYSE: MLI)</t>
  </si>
  <si>
    <t xml:space="preserve">Target</t>
  </si>
  <si>
    <t xml:space="preserve">Mueller Water Products, Inc. (NYSE: MWA)</t>
  </si>
  <si>
    <t xml:space="preserve">MLI FY2025 Net Sales ($M)</t>
  </si>
  <si>
    <t xml:space="preserve">MWA FY2025 Net Sales ($M)</t>
  </si>
  <si>
    <t xml:space="preserve">Pro Forma Net Sales ($M)</t>
  </si>
  <si>
    <t xml:space="preserve">Pro Forma EBITDA ($M)</t>
  </si>
  <si>
    <t xml:space="preserve">Pro Forma EBITDA Margin %</t>
  </si>
  <si>
    <t xml:space="preserve">MUELLER INDUSTRIES (NYSE: MLI) — STANDALONE, FY2025</t>
  </si>
  <si>
    <t xml:space="preserve">Source: MLI FY2025 10-K, Results of Operations (filed Feb 2026), SEC EDGAR. All figures $ millions.</t>
  </si>
  <si>
    <t xml:space="preserve">Net Sales</t>
  </si>
  <si>
    <t xml:space="preserve">Cost of Goods Sold</t>
  </si>
  <si>
    <t xml:space="preserve">Depreciation &amp; Amortization</t>
  </si>
  <si>
    <t xml:space="preserve">SG&amp;A Expense</t>
  </si>
  <si>
    <t xml:space="preserve">Gross Profit</t>
  </si>
  <si>
    <t xml:space="preserve">Gross Margin %</t>
  </si>
  <si>
    <t xml:space="preserve">Operating Income (company-reported)</t>
  </si>
  <si>
    <t xml:space="preserve">EBITDA (company-reported)</t>
  </si>
  <si>
    <t xml:space="preserve">EBITDA Margin %</t>
  </si>
  <si>
    <t xml:space="preserve">Net Income (reported, incl. non-operating items &amp; tax)</t>
  </si>
  <si>
    <t xml:space="preserve">Reconciling gap check</t>
  </si>
  <si>
    <t xml:space="preserve">Component build (Gross Profit - D&amp;A - SG&amp;A)</t>
  </si>
  <si>
    <t xml:space="preserve">Gap vs. reported Operating Income</t>
  </si>
  <si>
    <t xml:space="preserve">~$(63)M gap: the three disclosed line items (COGS/D&amp;A/SG&amp;A) do not fully reconcile to reported Operating Income — likely unallocated corporate costs not broken out in the excerpt pulled. Confirm against the full 10-K segment footnote before relying on the component split; the headline Operating Income/EBITDA above are the authoritative, reported figures.</t>
  </si>
  <si>
    <t xml:space="preserve">Total Debt (FY2025, per 10-K)</t>
  </si>
  <si>
    <t xml:space="preserve">Cash &amp; Short-Term Investments (FY2025)</t>
  </si>
  <si>
    <t xml:space="preserve">Capital Expenditures (FY2025 actual)</t>
  </si>
  <si>
    <t xml:space="preserve">FY2026 CapEx Guidance — Low / High ($M)</t>
  </si>
  <si>
    <t xml:space="preserve">Dividend Payout Ratio (trailing)</t>
  </si>
  <si>
    <t xml:space="preserve">MUELLER WATER PRODUCTS (NYSE: MWA) — STANDALONE, FY2025</t>
  </si>
  <si>
    <t xml:space="preserve">Source: MWA FY2025 10-K (filed 2025-11-19) and Q4/FY2025 earnings release. All figures $ millions.</t>
  </si>
  <si>
    <t xml:space="preserve">Operating Expenses Below Gross Profit (SG&amp;A + other)</t>
  </si>
  <si>
    <t xml:space="preserve">Operating Income</t>
  </si>
  <si>
    <t xml:space="preserve">Should tie to reported Operating Income of $260.6M</t>
  </si>
  <si>
    <t xml:space="preserve">Adjusted EBITDA (company-reported, non-GAAP)</t>
  </si>
  <si>
    <t xml:space="preserve">Adjusted EBITDA Margin %</t>
  </si>
  <si>
    <t xml:space="preserve">Net Income (reported)</t>
  </si>
  <si>
    <t xml:space="preserve">Total Debt (FY2025, per 10-K/earnings release)</t>
  </si>
  <si>
    <t xml:space="preserve">Cash &amp; Cash Equivalents (FY2025)</t>
  </si>
  <si>
    <t xml:space="preserve">Implied D&amp;A (unadjusted EBITDA less Operating Income)</t>
  </si>
  <si>
    <t xml:space="preserve">COPPER COST ENGINE &amp; PASS-THROUGH DYNAMICS (FIXED)</t>
  </si>
  <si>
    <t xml:space="preserve">Current/prior COMEX averages are real company-disclosed figures (MLI earnings releases). Fabrication spread and pass-through alpha are illustrative analyst assumptions pending validation — flagged, not sourced.</t>
  </si>
  <si>
    <t xml:space="preserve">Current-Quarter COMEX Copper Avg ($/lb)</t>
  </si>
  <si>
    <t xml:space="preserve">Prior-Quarter COMEX Copper Avg ($/lb)</t>
  </si>
  <si>
    <t xml:space="preserve">Pass-Through Pricing Lag (Days)</t>
  </si>
  <si>
    <t xml:space="preserve">Base Fabrication Spread ($/lb)</t>
  </si>
  <si>
    <t xml:space="preserve">Pass-Through Efficiency (Alpha)</t>
  </si>
  <si>
    <t xml:space="preserve">Effective Procurement Cost ($/lb)</t>
  </si>
  <si>
    <t xml:space="preserve">Formula: PriorPrice + (CurrentPrice-PriorPrice) x (1 - Lag/365). At Lag=0 this equals CurrentPrice; at Lag=365 it equals PriorPrice.</t>
  </si>
  <si>
    <t xml:space="preserve">Realized Selling Price (ASP, $/lb)</t>
  </si>
  <si>
    <t xml:space="preserve">Formula: FabricationSpread + Alpha x CurrentPrice + (1-Alpha) x PriorPrice</t>
  </si>
  <si>
    <t xml:space="preserve">Realized Unit Margin Spread ($/lb)</t>
  </si>
  <si>
    <t xml:space="preserve">Formula check: at Lag=0, Effective Cost should equal Current Price</t>
  </si>
  <si>
    <t xml:space="preserve">MLI / MWA — PRO FORMA CONSOLIDATED (HYPOTHETICAL)</t>
  </si>
  <si>
    <t xml:space="preserve">Illustrative combination for CV/portfolio purposes — not an announced transaction. Synergy figures are analyst assumptions, not disclosed guidance.</t>
  </si>
  <si>
    <t xml:space="preserve">Metric</t>
  </si>
  <si>
    <t xml:space="preserve">MLI Standalone</t>
  </si>
  <si>
    <t xml:space="preserve">MWA Standalone</t>
  </si>
  <si>
    <t xml:space="preserve">Synergies / Adj.</t>
  </si>
  <si>
    <t xml:space="preserve">Pro Forma Combined</t>
  </si>
  <si>
    <t xml:space="preserve">COGS (informational — copper-sensitivity link only)</t>
  </si>
  <si>
    <t xml:space="preserve">Gross Profit (informational)</t>
  </si>
  <si>
    <t xml:space="preserve">EBITDA (built from reported headline figures, not re-derived)</t>
  </si>
  <si>
    <t xml:space="preserve">Pro forma EBITDA (E9) must equal MLI EBITDA + MWA EBITDA + net synergies — checked on Audit_Checks tab.</t>
  </si>
  <si>
    <t xml:space="preserve">2D SENSITIVITY — PRO FORMA EBITDA</t>
  </si>
  <si>
    <t xml:space="preserve">Rows: copper price shock applied to Current-Quarter COMEX price. Columns: % of assumed synergies realized. Values: Pro Forma EBITDA ($M).</t>
  </si>
  <si>
    <t xml:space="preserve">Copper Price Shock \ Synergy Realization</t>
  </si>
  <si>
    <t xml:space="preserve">Copper COGS sensitivity factor (0.6) and synergy base ($8M COGS + $6M opex) are illustrative assumptions — label them as such in any pitch, not as disclosed figures.</t>
  </si>
  <si>
    <t xml:space="preserve">5-YEAR FORECAST — PRO FORMA (ILLUSTRATIVE), REBUILT</t>
  </si>
  <si>
    <t xml:space="preserve">FY2025 column is actual, sourced data. FY2026E-FY2030E are projections. Every assumption below is labeled as illustrative/derived or as sourced guidance — see comments.</t>
  </si>
  <si>
    <t xml:space="preserve">Note: the FY2025A column here is the PRE-DEAL standalone baseline (zero synergies) used to anchor the forecast — it is not the same figure as Pro_Forma_Consolidated's FY2025 pro forma (which nets illustrative Day-1 synergies). The two tabs answer different questions: Pro_Forma_Consolidated asks 'what would combined FY2025 have looked like,' this tab asks 'where does the combined entity go from here.'</t>
  </si>
  <si>
    <t xml:space="preserve">REVENUE DRIVERS (volume x price/mix, not a flat blended rate)</t>
  </si>
  <si>
    <t xml:space="preserve">MLI volume growth %/yr</t>
  </si>
  <si>
    <t xml:space="preserve">MLI price/mix growth %/yr</t>
  </si>
  <si>
    <t xml:space="preserve">MWA volume growth %/yr</t>
  </si>
  <si>
    <t xml:space="preserve">MWA price growth %/yr</t>
  </si>
  <si>
    <t xml:space="preserve">MLI combined growth %/yr (derived)</t>
  </si>
  <si>
    <t xml:space="preserve">MWA combined growth %/yr (derived)</t>
  </si>
  <si>
    <t xml:space="preserve">MARGIN, COPPER &amp; D&amp;A ASSUMPTIONS</t>
  </si>
  <si>
    <t xml:space="preserve">Base-case copper price path</t>
  </si>
  <si>
    <t xml:space="preserve">Flat at Current-Qtr COMEX ($5.13/lb)</t>
  </si>
  <si>
    <t xml:space="preserve">MLI EBITDA margin (held flat)</t>
  </si>
  <si>
    <t xml:space="preserve">MWA EBITDA margin (held flat)</t>
  </si>
  <si>
    <t xml:space="preserve">MLI D&amp;A as % of revenue</t>
  </si>
  <si>
    <t xml:space="preserve">MWA D&amp;A as % of revenue</t>
  </si>
  <si>
    <t xml:space="preserve">CAPEX, SYNERGY, CREDIT &amp; CASH-RETURN ASSUMPTIONS</t>
  </si>
  <si>
    <t xml:space="preserve">MLI FY2026E CapEx (disclosed guidance midpoint)</t>
  </si>
  <si>
    <t xml:space="preserve">MLI CapEx %/revenue, FY2027E onward (implied by guidance)</t>
  </si>
  <si>
    <t xml:space="preserve">MWA CapEx as % of revenue</t>
  </si>
  <si>
    <t xml:space="preserve">Total run-rate synergies ($M)</t>
  </si>
  <si>
    <t xml:space="preserve">Cost-to-achieve, total (x run-rate synergies)</t>
  </si>
  <si>
    <t xml:space="preserve">Blended effective tax rate</t>
  </si>
  <si>
    <t xml:space="preserve">MWA Senior Notes interest rate</t>
  </si>
  <si>
    <t xml:space="preserve">Incremental ΔNWC as % of revenue growth</t>
  </si>
  <si>
    <t xml:space="preserve">Synergy realization ramp (FY2026E col C onward)</t>
  </si>
  <si>
    <t xml:space="preserve">Cost-to-achieve cash outlay split (FY2026E col C onward)</t>
  </si>
  <si>
    <t xml:space="preserve">Cost-to-achieve is modeled as a one-time CASH outlay in the FCF bridge below, not an EBITDA reduction — consistent with how sponsors typically present 'adjusted' EBITDA while still cash-funding the integration.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</si>
  <si>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</si>
  <si>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</si>
  <si>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</si>
  <si>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</si>
  <si>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</si>
  <si>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</si>
  <si>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MLI Net Sales</t>
  </si>
  <si>
    <t xml:space="preserve">MWA Net Sales</t>
  </si>
  <si>
    <t xml:space="preserve">Combined Net Sales</t>
  </si>
  <si>
    <t xml:space="preserve">MLI EBITDA (margin held flat, copper-consistent)</t>
  </si>
  <si>
    <t xml:space="preserve">MWA EBITDA (margin held flat)</t>
  </si>
  <si>
    <t xml:space="preserve">Synergies realized</t>
  </si>
  <si>
    <t xml:space="preserve">Pro Forma EBITDA</t>
  </si>
  <si>
    <t xml:space="preserve">Less: D&amp;A (MLI + MWA)</t>
  </si>
  <si>
    <t xml:space="preserve">EBIT</t>
  </si>
  <si>
    <t xml:space="preserve">Less: Interest Expense (MWA Senior Notes only; MLI debt-free)</t>
  </si>
  <si>
    <t xml:space="preserve">Pretax Income</t>
  </si>
  <si>
    <t xml:space="preserve">Less: Tax</t>
  </si>
  <si>
    <t xml:space="preserve">Net Income</t>
  </si>
  <si>
    <t xml:space="preserve">Add back: D&amp;A</t>
  </si>
  <si>
    <t xml:space="preserve">MLI CapEx</t>
  </si>
  <si>
    <t xml:space="preserve">MWA CapEx</t>
  </si>
  <si>
    <t xml:space="preserve">Less: Combined CapEx</t>
  </si>
  <si>
    <t xml:space="preserve">Less: Incremental NWC Build</t>
  </si>
  <si>
    <t xml:space="preserve">Less: Dividends (MLI + MWA, trailing payout ratios)</t>
  </si>
  <si>
    <t xml:space="preserve">Combined Net Income is split between MLI and MWA in proportion to each company's EBITDA contribution, then each piece is paid out at that company's own trailing payout ratio.</t>
  </si>
  <si>
    <t xml:space="preserve">Less: Cost-to-Achieve Synergies (cash outlay)</t>
  </si>
  <si>
    <t xml:space="preserve">Free Cash Flow</t>
  </si>
  <si>
    <t xml:space="preserve">CREDIT PANEL</t>
  </si>
  <si>
    <t xml:space="preserve">Combined Total Debt (MWA Senior Notes, bullet to 2029 — no amort assumed)</t>
  </si>
  <si>
    <t xml:space="preserve">Combined Cash (rolled forward with Free Cash Flow)</t>
  </si>
  <si>
    <t xml:space="preserve">Net Debt / (Net Cash)</t>
  </si>
  <si>
    <t xml:space="preserve">Net Debt / EBITDA (x)</t>
  </si>
  <si>
    <t xml:space="preserve">Debt is held flat because MWA's Senior Notes are a bullet structure maturing in 2029, beyond this window, with no scheduled amortization. Cash now rolls forward using actual Free Cash Flow after CapEx, NWC, dividends, interest, tax, and cost-to-achieve — not held static.</t>
  </si>
  <si>
    <t xml:space="preserve">AUDIT CHECKS</t>
  </si>
  <si>
    <t xml:space="preserve">Pro forma Net Sales = MLI + MWA Net Sales</t>
  </si>
  <si>
    <t xml:space="preserve">Pro forma EBITDA = MLI EBITDA + MWA Adj. EBITDA + net synergies</t>
  </si>
  <si>
    <t xml:space="preserve">MWA standalone Operating Income ties to reported figure ($260.6M)</t>
  </si>
  <si>
    <t xml:space="preserve">Copper engine: Effective Cost = Current Price when Lag = 0</t>
  </si>
  <si>
    <t xml:space="preserve">KNOWN GAP: MLI component build (GP-D&amp;A-SG&amp;A) vs. reported Op. Income</t>
  </si>
  <si>
    <t xml:space="preserve">Forecast: FY2026E MLI CapEx uses disclosed guidance midpoint ($85.0M)</t>
  </si>
  <si>
    <t xml:space="preserve">Forecast: synergy ramp never exceeds 100% of run-rate</t>
  </si>
  <si>
    <t xml:space="preserve">Forecast: FY2026E cash = FY2025A cash + FY2026E Free Cash Flow (roll-forward ties)</t>
  </si>
  <si>
    <t xml:space="preserve">Forecast: synergies reach full $14.0M run-rate by FY2029E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</si>
</sst>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;&quot;($&quot;#,##0.0\);\-"/>
    <numFmt numFmtId="166" formatCode="0.0%"/>
    <numFmt numFmtId="167" formatCode="\$#,##0.000"/>
    <numFmt numFmtId="168" formatCode="0"/>
    <numFmt numFmtId="169" formatCode="0.00\x"/>
    <numFmt numFmtId="170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93B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29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3" t="s">
        <v>4</v>
      </c>
      <c r="B5" s="3" t="s">
        <v>5</v>
      </c>
    </row>
    <row r="6" customFormat="false" ht="15" hidden="false" customHeight="false" outlineLevel="0" collapsed="false">
      <c r="A6" s="3" t="s">
        <v>6</v>
      </c>
      <c r="B6" s="4" t="n">
        <f aca="false">MLI_Standalone!B4</f>
        <v>4178.5</v>
      </c>
    </row>
    <row r="7" customFormat="false" ht="15" hidden="false" customHeight="false" outlineLevel="0" collapsed="false">
      <c r="A7" s="3" t="s">
        <v>7</v>
      </c>
      <c r="B7" s="4" t="n">
        <f aca="false">MWA_Standalone!B4</f>
        <v>1429.7</v>
      </c>
    </row>
    <row r="8" customFormat="false" ht="15" hidden="false" customHeight="false" outlineLevel="0" collapsed="false">
      <c r="A8" s="3" t="s">
        <v>8</v>
      </c>
      <c r="B8" s="4" t="n">
        <f aca="false">Pro_Forma_Consolidated!E5</f>
        <v>5608.2</v>
      </c>
    </row>
    <row r="9" customFormat="false" ht="15" hidden="false" customHeight="false" outlineLevel="0" collapsed="false">
      <c r="A9" s="3" t="s">
        <v>9</v>
      </c>
      <c r="B9" s="4" t="n">
        <f aca="false">Pro_Forma_Consolidated!E9</f>
        <v>1339.3</v>
      </c>
    </row>
    <row r="10" customFormat="false" ht="15" hidden="false" customHeight="false" outlineLevel="0" collapsed="false">
      <c r="A10" s="3" t="s">
        <v>10</v>
      </c>
      <c r="B10" s="5" t="n">
        <f aca="false">Pro_Forma_Consolidated!E10</f>
        <v>0.238811026710888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15" hidden="false" customHeight="false" outlineLevel="0" collapsed="false">
      <c r="A4" s="3" t="s">
        <v>13</v>
      </c>
      <c r="B4" s="6" t="n">
        <v>4178.5</v>
      </c>
    </row>
    <row r="5" customFormat="false" ht="15" hidden="false" customHeight="false" outlineLevel="0" collapsed="false">
      <c r="A5" s="3" t="s">
        <v>14</v>
      </c>
      <c r="B5" s="6" t="n">
        <v>2966.1</v>
      </c>
    </row>
    <row r="6" customFormat="false" ht="15" hidden="false" customHeight="false" outlineLevel="0" collapsed="false">
      <c r="A6" s="3" t="s">
        <v>15</v>
      </c>
      <c r="B6" s="6" t="n">
        <v>68.6</v>
      </c>
    </row>
    <row r="7" customFormat="false" ht="15" hidden="false" customHeight="false" outlineLevel="0" collapsed="false">
      <c r="A7" s="3" t="s">
        <v>16</v>
      </c>
      <c r="B7" s="6" t="n">
        <v>248.7</v>
      </c>
    </row>
    <row r="9" customFormat="false" ht="15" hidden="false" customHeight="false" outlineLevel="0" collapsed="false">
      <c r="A9" s="0" t="s">
        <v>17</v>
      </c>
      <c r="B9" s="7" t="n">
        <f aca="false">B4-B5</f>
        <v>1212.4</v>
      </c>
    </row>
    <row r="10" customFormat="false" ht="15" hidden="false" customHeight="false" outlineLevel="0" collapsed="false">
      <c r="A10" s="0" t="s">
        <v>18</v>
      </c>
      <c r="B10" s="8" t="n">
        <f aca="false">B9/B4</f>
        <v>0.290151968409716</v>
      </c>
    </row>
    <row r="12" customFormat="false" ht="15" hidden="false" customHeight="false" outlineLevel="0" collapsed="false">
      <c r="A12" s="0" t="s">
        <v>19</v>
      </c>
      <c r="B12" s="6" t="n">
        <v>958.5</v>
      </c>
    </row>
    <row r="13" customFormat="false" ht="15" hidden="false" customHeight="false" outlineLevel="0" collapsed="false">
      <c r="A13" s="0" t="s">
        <v>20</v>
      </c>
      <c r="B13" s="6" t="n">
        <v>1027.1</v>
      </c>
    </row>
    <row r="14" customFormat="false" ht="15" hidden="false" customHeight="false" outlineLevel="0" collapsed="false">
      <c r="A14" s="0" t="s">
        <v>21</v>
      </c>
      <c r="B14" s="8" t="n">
        <f aca="false">B13/B4</f>
        <v>0.245805911212157</v>
      </c>
    </row>
    <row r="16" customFormat="false" ht="15" hidden="false" customHeight="false" outlineLevel="0" collapsed="false">
      <c r="A16" s="0" t="s">
        <v>22</v>
      </c>
      <c r="B16" s="6" t="n">
        <v>765.2</v>
      </c>
    </row>
    <row r="17" customFormat="false" ht="15" hidden="false" customHeight="false" outlineLevel="0" collapsed="false">
      <c r="A17" s="0" t="s">
        <v>23</v>
      </c>
    </row>
    <row r="18" customFormat="false" ht="15" hidden="false" customHeight="false" outlineLevel="0" collapsed="false">
      <c r="A18" s="0" t="s">
        <v>24</v>
      </c>
      <c r="B18" s="9" t="n">
        <f aca="false">B9-B6-B7</f>
        <v>895.1</v>
      </c>
    </row>
    <row r="19" customFormat="false" ht="15" hidden="false" customHeight="false" outlineLevel="0" collapsed="false">
      <c r="A19" s="0" t="s">
        <v>25</v>
      </c>
      <c r="B19" s="7" t="n">
        <f aca="false">B18-B12</f>
        <v>-63.3999999999999</v>
      </c>
      <c r="C19" s="2" t="s">
        <v>26</v>
      </c>
    </row>
    <row r="21" customFormat="false" ht="15" hidden="false" customHeight="false" outlineLevel="0" collapsed="false">
      <c r="A21" s="0" t="s">
        <v>27</v>
      </c>
      <c r="B21" s="6" t="n">
        <v>0</v>
      </c>
    </row>
    <row r="22" customFormat="false" ht="15" hidden="false" customHeight="false" outlineLevel="0" collapsed="false">
      <c r="A22" s="0" t="s">
        <v>28</v>
      </c>
      <c r="B22" s="6" t="n">
        <v>1389.7</v>
      </c>
    </row>
    <row r="23" customFormat="false" ht="15" hidden="false" customHeight="false" outlineLevel="0" collapsed="false">
      <c r="A23" s="0" t="s">
        <v>29</v>
      </c>
      <c r="B23" s="6" t="n">
        <v>68.8</v>
      </c>
    </row>
    <row r="24" customFormat="false" ht="15" hidden="false" customHeight="false" outlineLevel="0" collapsed="false">
      <c r="A24" s="0" t="s">
        <v>30</v>
      </c>
      <c r="B24" s="6" t="n">
        <v>80</v>
      </c>
      <c r="C24" s="6" t="n">
        <v>90</v>
      </c>
    </row>
    <row r="25" customFormat="false" ht="15" hidden="false" customHeight="false" outlineLevel="0" collapsed="false">
      <c r="A25" s="0" t="s">
        <v>31</v>
      </c>
      <c r="B25" s="10" t="n">
        <v>0.1512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3" t="s">
        <v>13</v>
      </c>
      <c r="B4" s="6" t="n">
        <v>1429.7</v>
      </c>
    </row>
    <row r="5" customFormat="false" ht="15" hidden="false" customHeight="false" outlineLevel="0" collapsed="false">
      <c r="A5" s="3" t="s">
        <v>14</v>
      </c>
      <c r="B5" s="6" t="n">
        <v>913</v>
      </c>
    </row>
    <row r="7" customFormat="false" ht="15" hidden="false" customHeight="false" outlineLevel="0" collapsed="false">
      <c r="A7" s="0" t="s">
        <v>17</v>
      </c>
      <c r="B7" s="7" t="n">
        <f aca="false">B4-B5</f>
        <v>516.7</v>
      </c>
    </row>
    <row r="8" customFormat="false" ht="15" hidden="false" customHeight="false" outlineLevel="0" collapsed="false">
      <c r="A8" s="0" t="s">
        <v>18</v>
      </c>
      <c r="B8" s="8" t="n">
        <f aca="false">B7/B4</f>
        <v>0.361404490452543</v>
      </c>
    </row>
    <row r="10" customFormat="false" ht="15" hidden="false" customHeight="false" outlineLevel="0" collapsed="false">
      <c r="A10" s="0" t="s">
        <v>34</v>
      </c>
      <c r="B10" s="6" t="n">
        <v>256.1</v>
      </c>
    </row>
    <row r="11" customFormat="false" ht="15" hidden="false" customHeight="false" outlineLevel="0" collapsed="false">
      <c r="A11" s="0" t="s">
        <v>35</v>
      </c>
      <c r="B11" s="7" t="n">
        <f aca="false">B7-B10</f>
        <v>260.6</v>
      </c>
      <c r="C11" s="2" t="s">
        <v>36</v>
      </c>
    </row>
    <row r="13" customFormat="false" ht="15" hidden="false" customHeight="false" outlineLevel="0" collapsed="false">
      <c r="A13" s="0" t="s">
        <v>37</v>
      </c>
      <c r="B13" s="6" t="n">
        <v>326.2</v>
      </c>
    </row>
    <row r="14" customFormat="false" ht="15" hidden="false" customHeight="false" outlineLevel="0" collapsed="false">
      <c r="A14" s="0" t="s">
        <v>38</v>
      </c>
      <c r="B14" s="8" t="n">
        <f aca="false">B13/B4</f>
        <v>0.228159753794502</v>
      </c>
    </row>
    <row r="16" customFormat="false" ht="15" hidden="false" customHeight="false" outlineLevel="0" collapsed="false">
      <c r="A16" s="0" t="s">
        <v>39</v>
      </c>
      <c r="B16" s="6" t="n">
        <v>191.7</v>
      </c>
    </row>
    <row r="18" customFormat="false" ht="15" hidden="false" customHeight="false" outlineLevel="0" collapsed="false">
      <c r="A18" s="0" t="s">
        <v>40</v>
      </c>
      <c r="B18" s="6" t="n">
        <v>451.6</v>
      </c>
    </row>
    <row r="19" customFormat="false" ht="15" hidden="false" customHeight="false" outlineLevel="0" collapsed="false">
      <c r="A19" s="0" t="s">
        <v>41</v>
      </c>
      <c r="B19" s="6" t="n">
        <v>431.5</v>
      </c>
    </row>
    <row r="20" customFormat="false" ht="15" hidden="false" customHeight="false" outlineLevel="0" collapsed="false">
      <c r="A20" s="0" t="s">
        <v>29</v>
      </c>
      <c r="B20" s="6" t="n">
        <v>47.3</v>
      </c>
    </row>
    <row r="21" customFormat="false" ht="15" hidden="false" customHeight="false" outlineLevel="0" collapsed="false">
      <c r="A21" s="0" t="s">
        <v>31</v>
      </c>
      <c r="B21" s="10" t="n">
        <v>0.2</v>
      </c>
    </row>
    <row r="22" customFormat="false" ht="15" hidden="false" customHeight="false" outlineLevel="0" collapsed="false">
      <c r="A22" s="0" t="s">
        <v>42</v>
      </c>
      <c r="B22" s="6" t="n">
        <v>46.9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11" t="n">
        <v>5.13</v>
      </c>
    </row>
    <row r="5" customFormat="false" ht="15" hidden="false" customHeight="false" outlineLevel="0" collapsed="false">
      <c r="A5" s="3" t="s">
        <v>46</v>
      </c>
      <c r="B5" s="11" t="n">
        <v>4.83</v>
      </c>
    </row>
    <row r="6" customFormat="false" ht="15" hidden="false" customHeight="false" outlineLevel="0" collapsed="false">
      <c r="A6" s="3" t="s">
        <v>47</v>
      </c>
      <c r="B6" s="12" t="n">
        <v>45</v>
      </c>
    </row>
    <row r="7" customFormat="false" ht="15" hidden="false" customHeight="false" outlineLevel="0" collapsed="false">
      <c r="A7" s="3" t="s">
        <v>48</v>
      </c>
      <c r="B7" s="11" t="n">
        <v>0.3</v>
      </c>
    </row>
    <row r="8" customFormat="false" ht="15" hidden="false" customHeight="false" outlineLevel="0" collapsed="false">
      <c r="A8" s="3" t="s">
        <v>49</v>
      </c>
      <c r="B8" s="10" t="n">
        <v>0.85</v>
      </c>
    </row>
    <row r="11" customFormat="false" ht="15" hidden="false" customHeight="false" outlineLevel="0" collapsed="false">
      <c r="A11" s="0" t="s">
        <v>50</v>
      </c>
      <c r="B11" s="13" t="n">
        <f aca="false">B5+(B4-B5)*(1-B6/365)</f>
        <v>5.09301369863014</v>
      </c>
      <c r="C11" s="2" t="s">
        <v>51</v>
      </c>
    </row>
    <row r="12" customFormat="false" ht="15" hidden="false" customHeight="false" outlineLevel="0" collapsed="false">
      <c r="A12" s="0" t="s">
        <v>52</v>
      </c>
      <c r="B12" s="13" t="n">
        <f aca="false">B7+B8*B4+(1-B8)*B5</f>
        <v>5.385</v>
      </c>
      <c r="C12" s="2" t="s">
        <v>53</v>
      </c>
    </row>
    <row r="13" customFormat="false" ht="15" hidden="false" customHeight="false" outlineLevel="0" collapsed="false">
      <c r="A13" s="0" t="s">
        <v>54</v>
      </c>
      <c r="B13" s="14" t="n">
        <f aca="false">B12-B11</f>
        <v>0.291986301369863</v>
      </c>
    </row>
    <row r="15" customFormat="false" ht="15" hidden="false" customHeight="false" outlineLevel="0" collapsed="false">
      <c r="A15" s="0" t="s">
        <v>55</v>
      </c>
      <c r="B15" s="3" t="str">
        <f aca="false">IF(ROUND(B5+(B4-B5)*(1-0/365),4)=ROUND(B4,4),"PASS","FAIL")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15" t="s">
        <v>58</v>
      </c>
      <c r="B4" s="15" t="s">
        <v>59</v>
      </c>
      <c r="C4" s="15" t="s">
        <v>60</v>
      </c>
      <c r="D4" s="15" t="s">
        <v>61</v>
      </c>
      <c r="E4" s="15" t="s">
        <v>62</v>
      </c>
    </row>
    <row r="5" customFormat="false" ht="15" hidden="false" customHeight="false" outlineLevel="0" collapsed="false">
      <c r="A5" s="0" t="s">
        <v>13</v>
      </c>
      <c r="B5" s="9" t="n">
        <f aca="false">MLI_Standalone!B4</f>
        <v>4178.5</v>
      </c>
      <c r="C5" s="9" t="n">
        <f aca="false">MWA_Standalone!B4</f>
        <v>1429.7</v>
      </c>
      <c r="D5" s="6" t="n">
        <v>0</v>
      </c>
      <c r="E5" s="9" t="n">
        <f aca="false">B5+C5+D5</f>
        <v>5608.2</v>
      </c>
    </row>
    <row r="6" customFormat="false" ht="15" hidden="false" customHeight="false" outlineLevel="0" collapsed="false">
      <c r="A6" s="0" t="s">
        <v>63</v>
      </c>
      <c r="B6" s="9" t="n">
        <f aca="false">MLI_Standalone!B5</f>
        <v>2966.1</v>
      </c>
      <c r="C6" s="9" t="n">
        <f aca="false">MWA_Standalone!B5</f>
        <v>913</v>
      </c>
      <c r="D6" s="6" t="n">
        <v>-8</v>
      </c>
      <c r="E6" s="9" t="n">
        <f aca="false">B6+C6+D6</f>
        <v>3871.1</v>
      </c>
    </row>
    <row r="7" customFormat="false" ht="15" hidden="false" customHeight="false" outlineLevel="0" collapsed="false">
      <c r="A7" s="0" t="s">
        <v>64</v>
      </c>
      <c r="B7" s="9" t="n">
        <f aca="false">B5-B6</f>
        <v>1212.4</v>
      </c>
      <c r="C7" s="9" t="n">
        <f aca="false">C5-C6</f>
        <v>516.7</v>
      </c>
      <c r="D7" s="9" t="n">
        <f aca="false">D5-D6</f>
        <v>8</v>
      </c>
      <c r="E7" s="9" t="n">
        <f aca="false">E5-E6</f>
        <v>1737.1</v>
      </c>
    </row>
    <row r="8" customFormat="false" ht="15" hidden="false" customHeight="false" outlineLevel="0" collapsed="false">
      <c r="B8" s="9"/>
      <c r="C8" s="9"/>
      <c r="D8" s="9"/>
      <c r="E8" s="9"/>
    </row>
    <row r="9" customFormat="false" ht="15" hidden="false" customHeight="false" outlineLevel="0" collapsed="false">
      <c r="A9" s="16" t="s">
        <v>65</v>
      </c>
      <c r="B9" s="17" t="n">
        <f aca="false">MLI_Standalone!B13</f>
        <v>1027.1</v>
      </c>
      <c r="C9" s="17" t="n">
        <f aca="false">MWA_Standalone!B13</f>
        <v>326.2</v>
      </c>
      <c r="D9" s="18" t="n">
        <v>-14</v>
      </c>
      <c r="E9" s="17" t="n">
        <f aca="false">B9+C9+D9</f>
        <v>1339.3</v>
      </c>
    </row>
    <row r="10" customFormat="false" ht="15" hidden="false" customHeight="false" outlineLevel="0" collapsed="false">
      <c r="A10" s="0" t="s">
        <v>21</v>
      </c>
      <c r="B10" s="8" t="n">
        <f aca="false">B9/B5</f>
        <v>0.245805911212157</v>
      </c>
      <c r="C10" s="8" t="n">
        <f aca="false">C9/C5</f>
        <v>0.228159753794502</v>
      </c>
      <c r="D10" s="9"/>
      <c r="E10" s="8" t="n">
        <f aca="false">E9/E5</f>
        <v>0.238811026710888</v>
      </c>
    </row>
    <row r="12" customFormat="false" ht="15" hidden="false" customHeight="false" outlineLevel="0" collapsed="false">
      <c r="A12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16" t="s">
        <v>69</v>
      </c>
      <c r="B4" s="19" t="n">
        <v>0.5</v>
      </c>
      <c r="C4" s="19" t="n">
        <v>0.75</v>
      </c>
      <c r="D4" s="19" t="n">
        <v>1</v>
      </c>
      <c r="E4" s="19" t="n">
        <v>1.25</v>
      </c>
    </row>
    <row r="5" customFormat="false" ht="15" hidden="false" customHeight="false" outlineLevel="0" collapsed="false">
      <c r="A5" s="19" t="n">
        <v>-0.2</v>
      </c>
      <c r="B5" s="9" t="n">
        <f aca="false">Five_Year_Forecast!C39-MLI_Standalone!B5*-0.2*0.6+Five_Year_Forecast!C40+(-8+-6)*0.5</f>
        <v>1759.90636</v>
      </c>
      <c r="C5" s="9" t="n">
        <f aca="false">Five_Year_Forecast!C39-MLI_Standalone!B5*-0.2*0.6+Five_Year_Forecast!C40+(-8+-6)*0.75</f>
        <v>1756.40636</v>
      </c>
      <c r="D5" s="9" t="n">
        <f aca="false">Five_Year_Forecast!C39-MLI_Standalone!B5*-0.2*0.6+Five_Year_Forecast!C40+(-8+-6)*1</f>
        <v>1752.90636</v>
      </c>
      <c r="E5" s="9" t="n">
        <f aca="false">Five_Year_Forecast!C39-MLI_Standalone!B5*-0.2*0.6+Five_Year_Forecast!C40+(-8+-6)*1.25</f>
        <v>1749.40636</v>
      </c>
    </row>
    <row r="6" customFormat="false" ht="15" hidden="false" customHeight="false" outlineLevel="0" collapsed="false">
      <c r="A6" s="19" t="n">
        <v>-0.1</v>
      </c>
      <c r="B6" s="9" t="n">
        <f aca="false">Five_Year_Forecast!C39-MLI_Standalone!B5*-0.1*0.6+Five_Year_Forecast!C40+(-8+-6)*0.5</f>
        <v>1581.94036</v>
      </c>
      <c r="C6" s="9" t="n">
        <f aca="false">Five_Year_Forecast!C39-MLI_Standalone!B5*-0.1*0.6+Five_Year_Forecast!C40+(-8+-6)*0.75</f>
        <v>1578.44036</v>
      </c>
      <c r="D6" s="9" t="n">
        <f aca="false">Five_Year_Forecast!C39-MLI_Standalone!B5*-0.1*0.6+Five_Year_Forecast!C40+(-8+-6)*1</f>
        <v>1574.94036</v>
      </c>
      <c r="E6" s="9" t="n">
        <f aca="false">Five_Year_Forecast!C39-MLI_Standalone!B5*-0.1*0.6+Five_Year_Forecast!C40+(-8+-6)*1.25</f>
        <v>1571.44036</v>
      </c>
    </row>
    <row r="7" customFormat="false" ht="15" hidden="false" customHeight="false" outlineLevel="0" collapsed="false">
      <c r="A7" s="19" t="n">
        <v>0</v>
      </c>
      <c r="B7" s="9" t="n">
        <f aca="false">Five_Year_Forecast!C39-MLI_Standalone!B5*0*0.6+Five_Year_Forecast!C40+(-8+-6)*0.5</f>
        <v>1403.97436</v>
      </c>
      <c r="C7" s="9" t="n">
        <f aca="false">Five_Year_Forecast!C39-MLI_Standalone!B5*0*0.6+Five_Year_Forecast!C40+(-8+-6)*0.75</f>
        <v>1400.47436</v>
      </c>
      <c r="D7" s="9" t="n">
        <f aca="false">Five_Year_Forecast!C39-MLI_Standalone!B5*0*0.6+Five_Year_Forecast!C40+(-8+-6)*1</f>
        <v>1396.97436</v>
      </c>
      <c r="E7" s="9" t="n">
        <f aca="false">Five_Year_Forecast!C39-MLI_Standalone!B5*0*0.6+Five_Year_Forecast!C40+(-8+-6)*1.25</f>
        <v>1393.47436</v>
      </c>
    </row>
    <row r="8" customFormat="false" ht="15" hidden="false" customHeight="false" outlineLevel="0" collapsed="false">
      <c r="A8" s="19" t="n">
        <v>0.1</v>
      </c>
      <c r="B8" s="9" t="n">
        <f aca="false">Five_Year_Forecast!C39-MLI_Standalone!B5*0.1*0.6+Five_Year_Forecast!C40+(-8+-6)*0.5</f>
        <v>1226.00836</v>
      </c>
      <c r="C8" s="9" t="n">
        <f aca="false">Five_Year_Forecast!C39-MLI_Standalone!B5*0.1*0.6+Five_Year_Forecast!C40+(-8+-6)*0.75</f>
        <v>1222.50836</v>
      </c>
      <c r="D8" s="9" t="n">
        <f aca="false">Five_Year_Forecast!C39-MLI_Standalone!B5*0.1*0.6+Five_Year_Forecast!C40+(-8+-6)*1</f>
        <v>1219.00836</v>
      </c>
      <c r="E8" s="9" t="n">
        <f aca="false">Five_Year_Forecast!C39-MLI_Standalone!B5*0.1*0.6+Five_Year_Forecast!C40+(-8+-6)*1.25</f>
        <v>1215.50836</v>
      </c>
    </row>
    <row r="9" customFormat="false" ht="15" hidden="false" customHeight="false" outlineLevel="0" collapsed="false">
      <c r="A9" s="19" t="n">
        <v>0.2</v>
      </c>
      <c r="B9" s="9" t="n">
        <f aca="false">Five_Year_Forecast!C39-MLI_Standalone!B5*0.2*0.6+Five_Year_Forecast!C40+(-8+-6)*0.5</f>
        <v>1048.04236</v>
      </c>
      <c r="C9" s="9" t="n">
        <f aca="false">Five_Year_Forecast!C39-MLI_Standalone!B5*0.2*0.6+Five_Year_Forecast!C40+(-8+-6)*0.75</f>
        <v>1044.54236</v>
      </c>
      <c r="D9" s="9" t="n">
        <f aca="false">Five_Year_Forecast!C39-MLI_Standalone!B5*0.2*0.6+Five_Year_Forecast!C40+(-8+-6)*1</f>
        <v>1041.04236</v>
      </c>
      <c r="E9" s="9" t="n">
        <f aca="false">Five_Year_Forecast!C39-MLI_Standalone!B5*0.2*0.6+Five_Year_Forecast!C40+(-8+-6)*1.25</f>
        <v>1037.54236</v>
      </c>
    </row>
    <row r="11" customFormat="false" ht="15" hidden="false" customHeight="false" outlineLevel="0" collapsed="false">
      <c r="A11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3" customFormat="false" ht="15" hidden="false" customHeight="false" outlineLevel="0" collapsed="false">
      <c r="A3" s="2" t="s">
        <v>73</v>
      </c>
    </row>
    <row r="4" customFormat="false" ht="15" hidden="false" customHeight="false" outlineLevel="0" collapsed="false">
      <c r="A4" s="16" t="s">
        <v>74</v>
      </c>
    </row>
    <row r="5" customFormat="false" ht="15" hidden="false" customHeight="false" outlineLevel="0" collapsed="false">
      <c r="A5" s="3" t="s">
        <v>75</v>
      </c>
      <c r="B5" s="10" t="n">
        <v>0.02</v>
      </c>
    </row>
    <row r="6" customFormat="false" ht="15" hidden="false" customHeight="false" outlineLevel="0" collapsed="false">
      <c r="A6" s="3" t="s">
        <v>76</v>
      </c>
      <c r="B6" s="10" t="n">
        <v>0.02</v>
      </c>
    </row>
    <row r="7" customFormat="false" ht="15" hidden="false" customHeight="false" outlineLevel="0" collapsed="false">
      <c r="A7" s="3" t="s">
        <v>77</v>
      </c>
      <c r="B7" s="10" t="n">
        <v>0.025</v>
      </c>
    </row>
    <row r="8" customFormat="false" ht="15" hidden="false" customHeight="false" outlineLevel="0" collapsed="false">
      <c r="A8" s="3" t="s">
        <v>78</v>
      </c>
      <c r="B8" s="10" t="n">
        <v>0.024</v>
      </c>
    </row>
    <row r="9" customFormat="false" ht="15" hidden="false" customHeight="false" outlineLevel="0" collapsed="false">
      <c r="A9" s="0" t="s">
        <v>79</v>
      </c>
      <c r="B9" s="8" t="n">
        <f aca="false">(1+B5)*(1+B6)-1</f>
        <v>0.0404</v>
      </c>
    </row>
    <row r="10" customFormat="false" ht="15" hidden="false" customHeight="false" outlineLevel="0" collapsed="false">
      <c r="A10" s="0" t="s">
        <v>80</v>
      </c>
      <c r="B10" s="8" t="n">
        <f aca="false">(1+B7)*(1+B8)-1</f>
        <v>0.0495999999999999</v>
      </c>
    </row>
    <row r="12" customFormat="false" ht="15" hidden="false" customHeight="false" outlineLevel="0" collapsed="false">
      <c r="A12" s="16" t="s">
        <v>81</v>
      </c>
    </row>
    <row r="13" customFormat="false" ht="15" hidden="false" customHeight="false" outlineLevel="0" collapsed="false">
      <c r="A13" s="3" t="s">
        <v>82</v>
      </c>
      <c r="B13" s="20" t="s">
        <v>83</v>
      </c>
    </row>
    <row r="14" customFormat="false" ht="15" hidden="false" customHeight="false" outlineLevel="0" collapsed="false">
      <c r="A14" s="3" t="s">
        <v>84</v>
      </c>
      <c r="B14" s="21" t="n">
        <f aca="false">MLI_Standalone!B14</f>
        <v>0.245805911212157</v>
      </c>
    </row>
    <row r="15" customFormat="false" ht="15" hidden="false" customHeight="false" outlineLevel="0" collapsed="false">
      <c r="A15" s="3" t="s">
        <v>85</v>
      </c>
      <c r="B15" s="21" t="n">
        <f aca="false">MWA_Standalone!B14</f>
        <v>0.228159753794502</v>
      </c>
    </row>
    <row r="16" customFormat="false" ht="15" hidden="false" customHeight="false" outlineLevel="0" collapsed="false">
      <c r="A16" s="3" t="s">
        <v>86</v>
      </c>
      <c r="B16" s="21" t="n">
        <f aca="false">MLI_Standalone!B6/MLI_Standalone!B4</f>
        <v>0.016417374655977</v>
      </c>
    </row>
    <row r="17" customFormat="false" ht="15" hidden="false" customHeight="false" outlineLevel="0" collapsed="false">
      <c r="A17" s="3" t="s">
        <v>87</v>
      </c>
      <c r="B17" s="21" t="n">
        <f aca="false">MWA_Standalone!B22/MWA_Standalone!B4</f>
        <v>0.0328040847730293</v>
      </c>
    </row>
    <row r="19" customFormat="false" ht="15" hidden="false" customHeight="false" outlineLevel="0" collapsed="false">
      <c r="A19" s="16" t="s">
        <v>88</v>
      </c>
    </row>
    <row r="20" customFormat="false" ht="15" hidden="false" customHeight="false" outlineLevel="0" collapsed="false">
      <c r="A20" s="3" t="s">
        <v>89</v>
      </c>
      <c r="B20" s="22" t="n">
        <f aca="false">(MLI_Standalone!B24+MLI_Standalone!C24)/2</f>
        <v>85</v>
      </c>
    </row>
    <row r="21" customFormat="false" ht="15" hidden="false" customHeight="false" outlineLevel="0" collapsed="false">
      <c r="A21" s="3" t="s">
        <v>90</v>
      </c>
      <c r="B21" s="21" t="n">
        <f aca="false">B20/(MLI_Standalone!B4*(1+B9))</f>
        <v>0.0195523145638934</v>
      </c>
    </row>
    <row r="22" customFormat="false" ht="15" hidden="false" customHeight="false" outlineLevel="0" collapsed="false">
      <c r="A22" s="3" t="s">
        <v>91</v>
      </c>
      <c r="B22" s="21" t="n">
        <f aca="false">MWA_Standalone!B20/MWA_Standalone!B4</f>
        <v>0.0330838637476394</v>
      </c>
    </row>
    <row r="23" customFormat="false" ht="15" hidden="false" customHeight="false" outlineLevel="0" collapsed="false">
      <c r="A23" s="3" t="s">
        <v>92</v>
      </c>
      <c r="B23" s="6" t="n">
        <v>14</v>
      </c>
    </row>
    <row r="24" customFormat="false" ht="15" hidden="false" customHeight="false" outlineLevel="0" collapsed="false">
      <c r="A24" s="3" t="s">
        <v>93</v>
      </c>
      <c r="B24" s="23" t="n">
        <v>1.2</v>
      </c>
    </row>
    <row r="25" customFormat="false" ht="15" hidden="false" customHeight="false" outlineLevel="0" collapsed="false">
      <c r="A25" s="3" t="s">
        <v>94</v>
      </c>
      <c r="B25" s="10" t="n">
        <v>0.24</v>
      </c>
    </row>
    <row r="26" customFormat="false" ht="15" hidden="false" customHeight="false" outlineLevel="0" collapsed="false">
      <c r="A26" s="3" t="s">
        <v>95</v>
      </c>
      <c r="B26" s="10" t="n">
        <v>0.04</v>
      </c>
    </row>
    <row r="27" customFormat="false" ht="15" hidden="false" customHeight="false" outlineLevel="0" collapsed="false">
      <c r="A27" s="3" t="s">
        <v>96</v>
      </c>
      <c r="B27" s="10" t="n">
        <v>0.08</v>
      </c>
    </row>
    <row r="29" customFormat="false" ht="15" hidden="false" customHeight="false" outlineLevel="0" collapsed="false">
      <c r="A29" s="0" t="s">
        <v>97</v>
      </c>
      <c r="C29" s="10" t="n">
        <v>0.25</v>
      </c>
      <c r="D29" s="10" t="n">
        <v>0.5</v>
      </c>
      <c r="E29" s="10" t="n">
        <v>0.75</v>
      </c>
      <c r="F29" s="10" t="n">
        <v>1</v>
      </c>
      <c r="G29" s="10" t="n">
        <v>1</v>
      </c>
    </row>
    <row r="30" customFormat="false" ht="15" hidden="false" customHeight="false" outlineLevel="0" collapsed="false">
      <c r="A30" s="0" t="s">
        <v>98</v>
      </c>
      <c r="C30" s="10" t="n">
        <v>0.6</v>
      </c>
      <c r="D30" s="10" t="n">
        <v>0.4</v>
      </c>
      <c r="E30" s="10" t="n">
        <v>0</v>
      </c>
      <c r="F30" s="10" t="n">
        <v>0</v>
      </c>
      <c r="G30" s="10" t="n">
        <v>0</v>
      </c>
    </row>
    <row r="31" customFormat="false" ht="15" hidden="false" customHeight="false" outlineLevel="0" collapsed="false">
      <c r="A31" s="2" t="s">
        <v>99</v>
      </c>
    </row>
    <row r="34" customFormat="false" ht="15" hidden="false" customHeight="false" outlineLevel="0" collapsed="false">
      <c r="A34" s="15" t="s">
        <v>58</v>
      </c>
      <c r="B34" s="15" t="s">
        <v>100</v>
      </c>
      <c r="C34" s="15" t="s">
        <v>101</v>
      </c>
      <c r="D34" s="15" t="s">
        <v>102</v>
      </c>
      <c r="E34" s="15" t="s">
        <v>103</v>
      </c>
      <c r="F34" s="15" t="s">
        <v>104</v>
      </c>
      <c r="G34" s="15" t="s">
        <v>105</v>
      </c>
    </row>
    <row r="35" customFormat="false" ht="15" hidden="false" customHeight="false" outlineLevel="0" collapsed="false">
      <c r="A35" s="0" t="s">
        <v>106</v>
      </c>
      <c r="B35" s="9" t="n">
        <f aca="false">MLI_Standalone!B4</f>
        <v>4178.5</v>
      </c>
      <c r="C35" s="9" t="n">
        <f aca="false">B35*(1+$B$9)</f>
        <v>4347.3114</v>
      </c>
      <c r="D35" s="9" t="n">
        <f aca="false">C35*(1+$B$9)</f>
        <v>4522.94278056</v>
      </c>
      <c r="E35" s="9" t="n">
        <f aca="false">D35*(1+$B$9)</f>
        <v>4705.66966889462</v>
      </c>
      <c r="F35" s="9" t="n">
        <f aca="false">E35*(1+$B$9)</f>
        <v>4895.77872351797</v>
      </c>
      <c r="G35" s="9" t="n">
        <f aca="false">F35*(1+$B$9)</f>
        <v>5093.56818394809</v>
      </c>
    </row>
    <row r="36" customFormat="false" ht="15" hidden="false" customHeight="false" outlineLevel="0" collapsed="false">
      <c r="A36" s="0" t="s">
        <v>107</v>
      </c>
      <c r="B36" s="9" t="n">
        <f aca="false">MWA_Standalone!B4</f>
        <v>1429.7</v>
      </c>
      <c r="C36" s="9" t="n">
        <f aca="false">B36*(1+$B$10)</f>
        <v>1500.61312</v>
      </c>
      <c r="D36" s="9" t="n">
        <f aca="false">C36*(1+$B$10)</f>
        <v>1575.043530752</v>
      </c>
      <c r="E36" s="9" t="n">
        <f aca="false">D36*(1+$B$10)</f>
        <v>1653.1656898773</v>
      </c>
      <c r="F36" s="9" t="n">
        <f aca="false">E36*(1+$B$10)</f>
        <v>1735.16270809521</v>
      </c>
      <c r="G36" s="9" t="n">
        <f aca="false">F36*(1+$B$10)</f>
        <v>1821.22677841673</v>
      </c>
    </row>
    <row r="37" customFormat="false" ht="15" hidden="false" customHeight="false" outlineLevel="0" collapsed="false">
      <c r="A37" s="16" t="s">
        <v>108</v>
      </c>
      <c r="B37" s="9" t="n">
        <f aca="false">B35+B36</f>
        <v>5608.2</v>
      </c>
      <c r="C37" s="9" t="n">
        <f aca="false">C35+C36</f>
        <v>5847.92452</v>
      </c>
      <c r="D37" s="9" t="n">
        <f aca="false">D35+D36</f>
        <v>6097.986311312</v>
      </c>
      <c r="E37" s="9" t="n">
        <f aca="false">E35+E36</f>
        <v>6358.83535877192</v>
      </c>
      <c r="F37" s="9" t="n">
        <f aca="false">F35+F36</f>
        <v>6630.94143161318</v>
      </c>
      <c r="G37" s="9" t="n">
        <f aca="false">G35+G36</f>
        <v>6914.79496236483</v>
      </c>
    </row>
    <row r="38" customFormat="false" ht="15" hidden="false" customHeight="false" outlineLevel="0" collapsed="false">
      <c r="B38" s="9"/>
      <c r="C38" s="9"/>
      <c r="D38" s="9"/>
      <c r="E38" s="9"/>
      <c r="F38" s="9"/>
      <c r="G38" s="9"/>
    </row>
    <row r="39" customFormat="false" ht="15" hidden="false" customHeight="false" outlineLevel="0" collapsed="false">
      <c r="A39" s="0" t="s">
        <v>109</v>
      </c>
      <c r="B39" s="9" t="n">
        <f aca="false">B35*$B$14</f>
        <v>1027.1</v>
      </c>
      <c r="C39" s="9" t="n">
        <f aca="false">C35*$B$14</f>
        <v>1068.59484</v>
      </c>
      <c r="D39" s="9" t="n">
        <f aca="false">D35*$B$14</f>
        <v>1111.766071536</v>
      </c>
      <c r="E39" s="9" t="n">
        <f aca="false">E35*$B$14</f>
        <v>1156.68142082605</v>
      </c>
      <c r="F39" s="9" t="n">
        <f aca="false">F35*$B$14</f>
        <v>1203.41135022743</v>
      </c>
      <c r="G39" s="9" t="n">
        <f aca="false">G35*$B$14</f>
        <v>1252.02916877661</v>
      </c>
    </row>
    <row r="40" customFormat="false" ht="15" hidden="false" customHeight="false" outlineLevel="0" collapsed="false">
      <c r="A40" s="0" t="s">
        <v>110</v>
      </c>
      <c r="B40" s="9" t="n">
        <f aca="false">B36*$B$15</f>
        <v>326.2</v>
      </c>
      <c r="C40" s="9" t="n">
        <f aca="false">C36*$B$15</f>
        <v>342.37952</v>
      </c>
      <c r="D40" s="9" t="n">
        <f aca="false">D36*$B$15</f>
        <v>359.361544192</v>
      </c>
      <c r="E40" s="9" t="n">
        <f aca="false">E36*$B$15</f>
        <v>377.185876783923</v>
      </c>
      <c r="F40" s="9" t="n">
        <f aca="false">F36*$B$15</f>
        <v>395.894296272406</v>
      </c>
      <c r="G40" s="9" t="n">
        <f aca="false">G36*$B$15</f>
        <v>415.530653367517</v>
      </c>
    </row>
    <row r="41" customFormat="false" ht="15" hidden="false" customHeight="false" outlineLevel="0" collapsed="false">
      <c r="A41" s="0" t="s">
        <v>111</v>
      </c>
      <c r="B41" s="24" t="n">
        <v>0</v>
      </c>
      <c r="C41" s="9" t="n">
        <f aca="false">$B$23*C29</f>
        <v>3.5</v>
      </c>
      <c r="D41" s="9" t="n">
        <f aca="false">$B$23*D29</f>
        <v>7</v>
      </c>
      <c r="E41" s="9" t="n">
        <f aca="false">$B$23*E29</f>
        <v>10.5</v>
      </c>
      <c r="F41" s="9" t="n">
        <f aca="false">$B$23*F29</f>
        <v>14</v>
      </c>
      <c r="G41" s="9" t="n">
        <f aca="false">$B$23*G29</f>
        <v>14</v>
      </c>
    </row>
    <row r="42" customFormat="false" ht="15" hidden="false" customHeight="false" outlineLevel="0" collapsed="false">
      <c r="A42" s="16" t="s">
        <v>112</v>
      </c>
      <c r="B42" s="17" t="n">
        <f aca="false">B39+B40+B41</f>
        <v>1353.3</v>
      </c>
      <c r="C42" s="17" t="n">
        <f aca="false">C39+C40+C41</f>
        <v>1414.47436</v>
      </c>
      <c r="D42" s="17" t="n">
        <f aca="false">D39+D40+D41</f>
        <v>1478.127615728</v>
      </c>
      <c r="E42" s="17" t="n">
        <f aca="false">E39+E40+E41</f>
        <v>1544.36729760998</v>
      </c>
      <c r="F42" s="17" t="n">
        <f aca="false">F39+F40+F41</f>
        <v>1613.30564649983</v>
      </c>
      <c r="G42" s="17" t="n">
        <f aca="false">G39+G40+G41</f>
        <v>1681.55982214413</v>
      </c>
    </row>
    <row r="43" customFormat="false" ht="15" hidden="false" customHeight="false" outlineLevel="0" collapsed="false">
      <c r="A43" s="0" t="s">
        <v>10</v>
      </c>
      <c r="B43" s="8" t="n">
        <f aca="false">B42/B37</f>
        <v>0.241307371349096</v>
      </c>
      <c r="C43" s="8" t="n">
        <f aca="false">C42/C37</f>
        <v>0.241876302466366</v>
      </c>
      <c r="D43" s="8" t="n">
        <f aca="false">D42/D37</f>
        <v>0.2423960206316</v>
      </c>
      <c r="E43" s="8" t="n">
        <f aca="false">E42/E37</f>
        <v>0.242869520985403</v>
      </c>
      <c r="F43" s="8" t="n">
        <f aca="false">F42/F37</f>
        <v>0.243299637485615</v>
      </c>
      <c r="G43" s="8" t="n">
        <f aca="false">G42/G37</f>
        <v>0.243182889918842</v>
      </c>
    </row>
    <row r="44" customFormat="false" ht="15" hidden="false" customHeight="false" outlineLevel="0" collapsed="false">
      <c r="B44" s="9"/>
      <c r="C44" s="9"/>
      <c r="D44" s="9"/>
      <c r="E44" s="9"/>
      <c r="F44" s="9"/>
      <c r="G44" s="9"/>
    </row>
    <row r="45" customFormat="false" ht="15" hidden="false" customHeight="false" outlineLevel="0" collapsed="false">
      <c r="A45" s="0" t="s">
        <v>113</v>
      </c>
      <c r="B45" s="9" t="n">
        <f aca="false">-(B35*$B$16+B36*$B$17)</f>
        <v>-115.5</v>
      </c>
      <c r="C45" s="9" t="n">
        <f aca="false">-(C35*$B$16+C36*$B$17)</f>
        <v>-120.59768</v>
      </c>
      <c r="D45" s="9" t="n">
        <f aca="false">-(D35*$B$16+D36*$B$17)</f>
        <v>-125.92270768</v>
      </c>
      <c r="E45" s="9" t="n">
        <f aca="false">-(E35*$B$16+E36*$B$17)</f>
        <v>-131.485329396109</v>
      </c>
      <c r="F45" s="9" t="n">
        <f aca="false">-(F35*$B$16+F36*$B$17)</f>
        <v>-137.29625810811</v>
      </c>
      <c r="G45" s="9" t="n">
        <f aca="false">-(G35*$B$16+G36*$B$17)</f>
        <v>-143.366694841734</v>
      </c>
    </row>
    <row r="46" customFormat="false" ht="15" hidden="false" customHeight="false" outlineLevel="0" collapsed="false">
      <c r="A46" s="16" t="s">
        <v>114</v>
      </c>
      <c r="B46" s="9" t="n">
        <f aca="false">B42+B45</f>
        <v>1237.8</v>
      </c>
      <c r="C46" s="9" t="n">
        <f aca="false">C42+C45</f>
        <v>1293.87668</v>
      </c>
      <c r="D46" s="9" t="n">
        <f aca="false">D42+D45</f>
        <v>1352.204908048</v>
      </c>
      <c r="E46" s="9" t="n">
        <f aca="false">E42+E45</f>
        <v>1412.88196821387</v>
      </c>
      <c r="F46" s="9" t="n">
        <f aca="false">F42+F45</f>
        <v>1476.00938839172</v>
      </c>
      <c r="G46" s="9" t="n">
        <f aca="false">G42+G45</f>
        <v>1538.1931273024</v>
      </c>
    </row>
    <row r="47" customFormat="false" ht="15" hidden="false" customHeight="false" outlineLevel="0" collapsed="false">
      <c r="A47" s="0" t="s">
        <v>115</v>
      </c>
      <c r="B47" s="9" t="n">
        <f aca="false">-MWA_Standalone!B18*$B$26</f>
        <v>-18.064</v>
      </c>
      <c r="C47" s="9" t="n">
        <f aca="false">-MWA_Standalone!B18*$B$26</f>
        <v>-18.064</v>
      </c>
      <c r="D47" s="9" t="n">
        <f aca="false">-MWA_Standalone!B18*$B$26</f>
        <v>-18.064</v>
      </c>
      <c r="E47" s="9" t="n">
        <f aca="false">-MWA_Standalone!B18*$B$26</f>
        <v>-18.064</v>
      </c>
      <c r="F47" s="9" t="n">
        <f aca="false">-MWA_Standalone!B18*$B$26</f>
        <v>-18.064</v>
      </c>
      <c r="G47" s="9" t="n">
        <f aca="false">-MWA_Standalone!B18*$B$26</f>
        <v>-18.064</v>
      </c>
    </row>
    <row r="48" customFormat="false" ht="15" hidden="false" customHeight="false" outlineLevel="0" collapsed="false">
      <c r="A48" s="0" t="s">
        <v>116</v>
      </c>
      <c r="B48" s="9" t="n">
        <f aca="false">B46+B47</f>
        <v>1219.736</v>
      </c>
      <c r="C48" s="9" t="n">
        <f aca="false">C46+C47</f>
        <v>1275.81268</v>
      </c>
      <c r="D48" s="9" t="n">
        <f aca="false">D46+D47</f>
        <v>1334.140908048</v>
      </c>
      <c r="E48" s="9" t="n">
        <f aca="false">E46+E47</f>
        <v>1394.81796821387</v>
      </c>
      <c r="F48" s="9" t="n">
        <f aca="false">F46+F47</f>
        <v>1457.94538839172</v>
      </c>
      <c r="G48" s="9" t="n">
        <f aca="false">G46+G47</f>
        <v>1520.1291273024</v>
      </c>
    </row>
    <row r="49" customFormat="false" ht="15" hidden="false" customHeight="false" outlineLevel="0" collapsed="false">
      <c r="A49" s="0" t="s">
        <v>117</v>
      </c>
      <c r="B49" s="9" t="n">
        <f aca="false">-B48*$B$25</f>
        <v>-292.73664</v>
      </c>
      <c r="C49" s="9" t="n">
        <f aca="false">-C48*$B$25</f>
        <v>-306.1950432</v>
      </c>
      <c r="D49" s="9" t="n">
        <f aca="false">-D48*$B$25</f>
        <v>-320.19381793152</v>
      </c>
      <c r="E49" s="9" t="n">
        <f aca="false">-E48*$B$25</f>
        <v>-334.756312371329</v>
      </c>
      <c r="F49" s="9" t="n">
        <f aca="false">-F48*$B$25</f>
        <v>-349.906893214013</v>
      </c>
      <c r="G49" s="9" t="n">
        <f aca="false">-G48*$B$25</f>
        <v>-364.830990552575</v>
      </c>
    </row>
    <row r="50" customFormat="false" ht="15" hidden="false" customHeight="false" outlineLevel="0" collapsed="false">
      <c r="A50" s="16" t="s">
        <v>118</v>
      </c>
      <c r="B50" s="9" t="n">
        <f aca="false">B48+B49</f>
        <v>926.99936</v>
      </c>
      <c r="C50" s="9" t="n">
        <f aca="false">C48+C49</f>
        <v>969.6176368</v>
      </c>
      <c r="D50" s="9" t="n">
        <f aca="false">D48+D49</f>
        <v>1013.94709011648</v>
      </c>
      <c r="E50" s="9" t="n">
        <f aca="false">E48+E49</f>
        <v>1060.06165584254</v>
      </c>
      <c r="F50" s="9" t="n">
        <f aca="false">F48+F49</f>
        <v>1108.03849517771</v>
      </c>
      <c r="G50" s="9" t="n">
        <f aca="false">G48+G49</f>
        <v>1155.29813674982</v>
      </c>
    </row>
    <row r="51" customFormat="false" ht="15" hidden="false" customHeight="false" outlineLevel="0" collapsed="false">
      <c r="B51" s="9"/>
      <c r="C51" s="9"/>
      <c r="D51" s="9"/>
      <c r="E51" s="9"/>
      <c r="F51" s="9"/>
      <c r="G51" s="9"/>
    </row>
    <row r="52" customFormat="false" ht="15" hidden="false" customHeight="false" outlineLevel="0" collapsed="false">
      <c r="A52" s="0" t="s">
        <v>119</v>
      </c>
      <c r="B52" s="9" t="n">
        <f aca="false">-B45</f>
        <v>115.5</v>
      </c>
      <c r="C52" s="9" t="n">
        <f aca="false">-C45</f>
        <v>120.59768</v>
      </c>
      <c r="D52" s="9" t="n">
        <f aca="false">-D45</f>
        <v>125.92270768</v>
      </c>
      <c r="E52" s="9" t="n">
        <f aca="false">-E45</f>
        <v>131.485329396109</v>
      </c>
      <c r="F52" s="9" t="n">
        <f aca="false">-F45</f>
        <v>137.29625810811</v>
      </c>
      <c r="G52" s="9" t="n">
        <f aca="false">-G45</f>
        <v>143.366694841734</v>
      </c>
    </row>
    <row r="53" customFormat="false" ht="15" hidden="false" customHeight="false" outlineLevel="0" collapsed="false">
      <c r="A53" s="0" t="s">
        <v>120</v>
      </c>
      <c r="B53" s="9" t="n">
        <f aca="false">MLI_Standalone!B23</f>
        <v>68.8</v>
      </c>
      <c r="C53" s="9" t="n">
        <f aca="false">$B$20</f>
        <v>85</v>
      </c>
      <c r="D53" s="9" t="n">
        <f aca="false">D35*$B$21</f>
        <v>88.434</v>
      </c>
      <c r="E53" s="9" t="n">
        <f aca="false">E35*$B$21</f>
        <v>92.0067336</v>
      </c>
      <c r="F53" s="9" t="n">
        <f aca="false">F35*$B$21</f>
        <v>95.72380563744</v>
      </c>
      <c r="G53" s="9" t="n">
        <f aca="false">G35*$B$21</f>
        <v>99.5910473851926</v>
      </c>
    </row>
    <row r="54" customFormat="false" ht="15" hidden="false" customHeight="false" outlineLevel="0" collapsed="false">
      <c r="A54" s="0" t="s">
        <v>121</v>
      </c>
      <c r="B54" s="9" t="n">
        <f aca="false">B36*$B$22</f>
        <v>47.3</v>
      </c>
      <c r="C54" s="9" t="n">
        <f aca="false">C36*$B$22</f>
        <v>49.64608</v>
      </c>
      <c r="D54" s="9" t="n">
        <f aca="false">D36*$B$22</f>
        <v>52.108525568</v>
      </c>
      <c r="E54" s="9" t="n">
        <f aca="false">E36*$B$22</f>
        <v>54.6931084361728</v>
      </c>
      <c r="F54" s="9" t="n">
        <f aca="false">F36*$B$22</f>
        <v>57.4058866146069</v>
      </c>
      <c r="G54" s="9" t="n">
        <f aca="false">G36*$B$22</f>
        <v>60.2532185906914</v>
      </c>
    </row>
    <row r="55" customFormat="false" ht="15" hidden="false" customHeight="false" outlineLevel="0" collapsed="false">
      <c r="A55" s="0" t="s">
        <v>122</v>
      </c>
      <c r="B55" s="9" t="n">
        <f aca="false">-(B53+B54)</f>
        <v>-116.1</v>
      </c>
      <c r="C55" s="9" t="n">
        <f aca="false">-(C53+C54)</f>
        <v>-134.64608</v>
      </c>
      <c r="D55" s="9" t="n">
        <f aca="false">-(D53+D54)</f>
        <v>-140.542525568</v>
      </c>
      <c r="E55" s="9" t="n">
        <f aca="false">-(E53+E54)</f>
        <v>-146.699842036173</v>
      </c>
      <c r="F55" s="9" t="n">
        <f aca="false">-(F53+F54)</f>
        <v>-153.129692252047</v>
      </c>
      <c r="G55" s="9" t="n">
        <f aca="false">-(G53+G54)</f>
        <v>-159.844265975884</v>
      </c>
    </row>
    <row r="56" customFormat="false" ht="15" hidden="false" customHeight="false" outlineLevel="0" collapsed="false">
      <c r="A56" s="0" t="s">
        <v>123</v>
      </c>
      <c r="B56" s="24" t="n">
        <v>0</v>
      </c>
      <c r="C56" s="9" t="n">
        <f aca="false">-(C37-B37)*$B$27</f>
        <v>-19.1779616</v>
      </c>
      <c r="D56" s="9" t="n">
        <f aca="false">-(D37-C37)*$B$27</f>
        <v>-20.00494330496</v>
      </c>
      <c r="E56" s="9" t="n">
        <f aca="false">-(E37-D37)*$B$27</f>
        <v>-20.8679237967939</v>
      </c>
      <c r="F56" s="9" t="n">
        <f aca="false">-(F37-E37)*$B$27</f>
        <v>-21.7684858273005</v>
      </c>
      <c r="G56" s="9" t="n">
        <f aca="false">-(G37-F37)*$B$27</f>
        <v>-22.7082824601318</v>
      </c>
    </row>
    <row r="57" customFormat="false" ht="15" hidden="false" customHeight="false" outlineLevel="0" collapsed="false">
      <c r="A57" s="0" t="s">
        <v>124</v>
      </c>
      <c r="B57" s="24" t="n">
        <v>0</v>
      </c>
      <c r="C57" s="9" t="n">
        <f aca="false">-((C39/(C39+C40))*C50*MLI_Standalone!B25+(C40/(C39+C40))*C50*MWA_Standalone!B21)</f>
        <v>-158.087960448122</v>
      </c>
      <c r="D57" s="9" t="n">
        <f aca="false">-((D39/(D39+D40))*D50*MLI_Standalone!B25+(D40/(D39+D40))*D50*MWA_Standalone!B21)</f>
        <v>-165.395740071546</v>
      </c>
      <c r="E57" s="9" t="n">
        <f aca="false">-((E39/(E39+E40))*E50*MLI_Standalone!B25+(E40/(E39+E40))*E50*MWA_Standalone!B21)</f>
        <v>-173.002244142921</v>
      </c>
      <c r="F57" s="9" t="n">
        <f aca="false">-((F39/(F39+F40))*F50*MLI_Standalone!B25+(F40/(F39+F40))*F50*MWA_Standalone!B21)</f>
        <v>-180.920545895179</v>
      </c>
      <c r="G57" s="9" t="n">
        <f aca="false">-((G39/(G39+G40))*G50*MLI_Standalone!B25+(G40/(G39+G40))*G50*MWA_Standalone!B21)</f>
        <v>-188.72975888238</v>
      </c>
      <c r="H57" s="2" t="s">
        <v>125</v>
      </c>
    </row>
    <row r="58" customFormat="false" ht="15" hidden="false" customHeight="false" outlineLevel="0" collapsed="false">
      <c r="A58" s="0" t="s">
        <v>126</v>
      </c>
      <c r="B58" s="24" t="n">
        <v>0</v>
      </c>
      <c r="C58" s="9" t="n">
        <f aca="false">-$B$23*$B$24*C30</f>
        <v>-10.08</v>
      </c>
      <c r="D58" s="9" t="n">
        <f aca="false">-$B$23*$B$24*D30</f>
        <v>-6.72</v>
      </c>
      <c r="E58" s="9" t="n">
        <f aca="false">-$B$23*$B$24*E30</f>
        <v>-0</v>
      </c>
      <c r="F58" s="9" t="n">
        <f aca="false">-$B$23*$B$24*F30</f>
        <v>-0</v>
      </c>
      <c r="G58" s="9" t="n">
        <f aca="false">-$B$23*$B$24*G30</f>
        <v>-0</v>
      </c>
    </row>
    <row r="59" customFormat="false" ht="15" hidden="false" customHeight="false" outlineLevel="0" collapsed="false">
      <c r="A59" s="16" t="s">
        <v>127</v>
      </c>
      <c r="B59" s="17" t="n">
        <f aca="false">B50+B52+B55+B56+B57+B58</f>
        <v>926.39936</v>
      </c>
      <c r="C59" s="17" t="n">
        <f aca="false">C50+C52+C55+C56+C57+C58</f>
        <v>768.223314751878</v>
      </c>
      <c r="D59" s="17" t="n">
        <f aca="false">D50+D52+D55+D56+D57+D58</f>
        <v>807.206588851974</v>
      </c>
      <c r="E59" s="17" t="n">
        <f aca="false">E50+E52+E55+E56+E57+E58</f>
        <v>850.976975262761</v>
      </c>
      <c r="F59" s="17" t="n">
        <f aca="false">F50+F52+F55+F56+F57+F58</f>
        <v>889.516029311292</v>
      </c>
      <c r="G59" s="17" t="n">
        <f aca="false">G50+G52+G55+G56+G57+G58</f>
        <v>927.38252427316</v>
      </c>
    </row>
    <row r="60" customFormat="false" ht="15" hidden="false" customHeight="false" outlineLevel="0" collapsed="false">
      <c r="B60" s="9"/>
      <c r="C60" s="9"/>
      <c r="D60" s="9"/>
      <c r="E60" s="9"/>
      <c r="F60" s="9"/>
      <c r="G60" s="9"/>
    </row>
    <row r="61" customFormat="false" ht="15" hidden="false" customHeight="false" outlineLevel="0" collapsed="false">
      <c r="A61" s="16" t="s">
        <v>128</v>
      </c>
      <c r="B61" s="9"/>
      <c r="C61" s="9"/>
      <c r="D61" s="9"/>
      <c r="E61" s="9"/>
      <c r="F61" s="9"/>
      <c r="G61" s="9"/>
    </row>
    <row r="62" customFormat="false" ht="15" hidden="false" customHeight="false" outlineLevel="0" collapsed="false">
      <c r="A62" s="0" t="s">
        <v>129</v>
      </c>
      <c r="B62" s="9" t="n">
        <f aca="false">MWA_Standalone!B18+MLI_Standalone!B21</f>
        <v>451.6</v>
      </c>
      <c r="C62" s="9" t="n">
        <f aca="false">MWA_Standalone!B18+MLI_Standalone!B21</f>
        <v>451.6</v>
      </c>
      <c r="D62" s="9" t="n">
        <f aca="false">MWA_Standalone!B18+MLI_Standalone!B21</f>
        <v>451.6</v>
      </c>
      <c r="E62" s="9" t="n">
        <f aca="false">MWA_Standalone!B18+MLI_Standalone!B21</f>
        <v>451.6</v>
      </c>
      <c r="F62" s="9" t="n">
        <f aca="false">MWA_Standalone!B18+MLI_Standalone!B21</f>
        <v>451.6</v>
      </c>
      <c r="G62" s="9" t="n">
        <f aca="false">MWA_Standalone!B18+MLI_Standalone!B21</f>
        <v>451.6</v>
      </c>
    </row>
    <row r="63" customFormat="false" ht="15" hidden="false" customHeight="false" outlineLevel="0" collapsed="false">
      <c r="A63" s="0" t="s">
        <v>130</v>
      </c>
      <c r="B63" s="9" t="n">
        <f aca="false">MLI_Standalone!B22+MWA_Standalone!B19</f>
        <v>1821.2</v>
      </c>
      <c r="C63" s="9" t="n">
        <f aca="false">B63+C59</f>
        <v>2589.42331475188</v>
      </c>
      <c r="D63" s="9" t="n">
        <f aca="false">C63+D59</f>
        <v>3396.62990360385</v>
      </c>
      <c r="E63" s="9" t="n">
        <f aca="false">D63+E59</f>
        <v>4247.60687886661</v>
      </c>
      <c r="F63" s="9" t="n">
        <f aca="false">E63+F59</f>
        <v>5137.12290817791</v>
      </c>
      <c r="G63" s="9" t="n">
        <f aca="false">F63+G59</f>
        <v>6064.50543245107</v>
      </c>
    </row>
    <row r="64" customFormat="false" ht="15" hidden="false" customHeight="false" outlineLevel="0" collapsed="false">
      <c r="A64" s="16" t="s">
        <v>131</v>
      </c>
      <c r="B64" s="9" t="n">
        <f aca="false">B62-B63</f>
        <v>-1369.6</v>
      </c>
      <c r="C64" s="9" t="n">
        <f aca="false">C62-C63</f>
        <v>-2137.82331475188</v>
      </c>
      <c r="D64" s="9" t="n">
        <f aca="false">D62-D63</f>
        <v>-2945.02990360385</v>
      </c>
      <c r="E64" s="9" t="n">
        <f aca="false">E62-E63</f>
        <v>-3796.00687886661</v>
      </c>
      <c r="F64" s="9" t="n">
        <f aca="false">F62-F63</f>
        <v>-4685.5229081779</v>
      </c>
      <c r="G64" s="9" t="n">
        <f aca="false">G62-G63</f>
        <v>-5612.90543245106</v>
      </c>
    </row>
    <row r="65" customFormat="false" ht="15" hidden="false" customHeight="false" outlineLevel="0" collapsed="false">
      <c r="A65" s="0" t="s">
        <v>132</v>
      </c>
      <c r="B65" s="25" t="n">
        <f aca="false">B64/B42</f>
        <v>-1.01204463164117</v>
      </c>
      <c r="C65" s="25" t="n">
        <f aca="false">C64/C42</f>
        <v>-1.51139064461506</v>
      </c>
      <c r="D65" s="25" t="n">
        <f aca="false">D64/D42</f>
        <v>-1.99240571129806</v>
      </c>
      <c r="E65" s="25" t="n">
        <f aca="false">E64/E42</f>
        <v>-2.45796895903016</v>
      </c>
      <c r="F65" s="25" t="n">
        <f aca="false">F64/F42</f>
        <v>-2.90429957791534</v>
      </c>
      <c r="G65" s="25" t="n">
        <f aca="false">G64/G42</f>
        <v>-3.33791599831051</v>
      </c>
    </row>
    <row r="67" customFormat="false" ht="15" hidden="false" customHeight="false" outlineLevel="0" collapsed="false">
      <c r="A67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134</v>
      </c>
    </row>
    <row r="3" customFormat="false" ht="15" hidden="false" customHeight="false" outlineLevel="0" collapsed="false">
      <c r="A3" s="3" t="s">
        <v>135</v>
      </c>
      <c r="B3" s="16" t="str">
        <f aca="false">IF(ROUND(Pro_Forma_Consolidated!E5,1)=ROUND(MLI_Standalone!B4+MWA_Standalone!B4,1),"PASS","FAIL")</f>
        <v>PASS</v>
      </c>
    </row>
    <row r="4" customFormat="false" ht="15" hidden="false" customHeight="false" outlineLevel="0" collapsed="false">
      <c r="A4" s="3" t="s">
        <v>136</v>
      </c>
      <c r="B4" s="16" t="str">
        <f aca="false">IF(ROUND(Pro_Forma_Consolidated!E9,1)=ROUND(MLI_Standalone!B13+MWA_Standalone!B13+-8+-6,1),"PASS","FAIL")</f>
        <v>PASS</v>
      </c>
    </row>
    <row r="5" customFormat="false" ht="15" hidden="false" customHeight="false" outlineLevel="0" collapsed="false">
      <c r="A5" s="3" t="s">
        <v>137</v>
      </c>
      <c r="B5" s="16" t="str">
        <f aca="false">IF(ROUND(MWA_Standalone!B11,1)=260.6,"PASS","FAIL")</f>
        <v>PASS</v>
      </c>
    </row>
    <row r="6" customFormat="false" ht="15" hidden="false" customHeight="false" outlineLevel="0" collapsed="false">
      <c r="A6" s="3" t="s">
        <v>138</v>
      </c>
      <c r="B6" s="16" t="str">
        <f aca="false">Copper_Cost_Engine!B15</f>
        <v>PASS</v>
      </c>
    </row>
    <row r="7" customFormat="false" ht="15" hidden="false" customHeight="false" outlineLevel="0" collapsed="false">
      <c r="A7" s="3" t="s">
        <v>139</v>
      </c>
      <c r="B7" s="7" t="n">
        <f aca="false">MLI_Standalone!B19</f>
        <v>-63.3999999999999</v>
      </c>
    </row>
    <row r="8" customFormat="false" ht="15" hidden="false" customHeight="false" outlineLevel="0" collapsed="false">
      <c r="A8" s="3" t="s">
        <v>140</v>
      </c>
      <c r="B8" s="16" t="str">
        <f aca="false">IF(ROUND(Five_Year_Forecast!C53,1)=ROUND(Five_Year_Forecast!B20,1),"PASS","FAIL")</f>
        <v>PASS</v>
      </c>
    </row>
    <row r="9" customFormat="false" ht="15" hidden="false" customHeight="false" outlineLevel="0" collapsed="false">
      <c r="A9" s="3" t="s">
        <v>141</v>
      </c>
      <c r="B9" s="16" t="str">
        <f aca="false">IF(MAX(Five_Year_Forecast!C29:G29)&lt;=1,"PASS","FAIL")</f>
        <v>PASS</v>
      </c>
    </row>
    <row r="10" customFormat="false" ht="15" hidden="false" customHeight="false" outlineLevel="0" collapsed="false">
      <c r="A10" s="3" t="s">
        <v>142</v>
      </c>
      <c r="B10" s="16" t="str">
        <f aca="false">IF(ROUND(Five_Year_Forecast!C63,1)=ROUND(Five_Year_Forecast!B63+Five_Year_Forecast!C59,1),"PASS","FAIL")</f>
        <v>PASS</v>
      </c>
    </row>
    <row r="11" customFormat="false" ht="15" hidden="false" customHeight="false" outlineLevel="0" collapsed="false">
      <c r="A11" s="3" t="s">
        <v>143</v>
      </c>
      <c r="B11" s="16" t="str">
        <f aca="false">IF(ROUND(Five_Year_Forecast!F41,1)=ROUND(Five_Year_Forecast!B23,1),"PASS","FAIL")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2026-10-03T09:05:03Z</dcterms:created>
  <dc:creator>openpyxl</dc:creator>
  <dc:description/>
  <dc:language>en-US</dc:language>
  <cp:lastModifiedBy/>
  <dcterms:modified xsi:type="dcterms:W3CDTF">2026-10-03T09:05:03Z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